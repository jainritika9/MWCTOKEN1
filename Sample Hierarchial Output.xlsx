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ligentindia-my.sharepoint.com/personal/ritika_jain_diligentglobal_com/Documents/"/>
    </mc:Choice>
  </mc:AlternateContent>
  <xr:revisionPtr revIDLastSave="0" documentId="8_{2B9602D4-5923-4B73-A1F7-9D528B467B97}" xr6:coauthVersionLast="47" xr6:coauthVersionMax="47" xr10:uidLastSave="{00000000-0000-0000-0000-000000000000}"/>
  <bookViews>
    <workbookView xWindow="-110" yWindow="-110" windowWidth="19420" windowHeight="10300" xr2:uid="{5C908615-3788-42B8-A9BE-5B55A0757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8" i="1" l="1"/>
  <c r="L8" i="1"/>
  <c r="Z7" i="1"/>
  <c r="K7" i="1"/>
  <c r="R6" i="1"/>
  <c r="Q6" i="1"/>
  <c r="O6" i="1"/>
  <c r="H6" i="1"/>
  <c r="F6" i="1"/>
  <c r="E6" i="1"/>
  <c r="D6" i="1"/>
  <c r="C6" i="1"/>
  <c r="U5" i="1"/>
  <c r="P5" i="1"/>
  <c r="AA7" i="1" l="1"/>
  <c r="AF6" i="1"/>
  <c r="U6" i="1"/>
  <c r="Z6" i="1" s="1"/>
  <c r="AA6" i="1" s="1"/>
  <c r="Z5" i="1"/>
  <c r="AA5" i="1" s="1"/>
  <c r="F7" i="1"/>
  <c r="F8" i="1" s="1"/>
  <c r="E7" i="1"/>
  <c r="E8" i="1" s="1"/>
  <c r="C7" i="1"/>
  <c r="P6" i="1"/>
  <c r="P7" i="1" s="1"/>
  <c r="R7" i="1"/>
  <c r="R8" i="1" s="1"/>
  <c r="AA8" i="1"/>
  <c r="Q7" i="1"/>
  <c r="Q8" i="1" s="1"/>
  <c r="O7" i="1"/>
  <c r="O8" i="1" s="1"/>
  <c r="H7" i="1"/>
  <c r="D7" i="1"/>
  <c r="D8" i="1" s="1"/>
  <c r="H8" i="1"/>
  <c r="C8" i="1" l="1"/>
  <c r="AF8" i="1" s="1"/>
  <c r="AF7" i="1"/>
  <c r="P8" i="1"/>
</calcChain>
</file>

<file path=xl/sharedStrings.xml><?xml version="1.0" encoding="utf-8"?>
<sst xmlns="http://schemas.openxmlformats.org/spreadsheetml/2006/main" count="83" uniqueCount="62">
  <si>
    <t>SALES REPORT -  NON-TRADE</t>
  </si>
  <si>
    <t>Books of Accounts</t>
  </si>
  <si>
    <t>SUMMARY LIST OF SALES (SLS)</t>
  </si>
  <si>
    <t>DEBITS</t>
  </si>
  <si>
    <t>CREDITS</t>
  </si>
  <si>
    <t>S/4 HANA</t>
  </si>
  <si>
    <t>Posting Date</t>
  </si>
  <si>
    <t>TIN</t>
  </si>
  <si>
    <t>Registered Name</t>
  </si>
  <si>
    <t>Address</t>
  </si>
  <si>
    <t>Address 2</t>
  </si>
  <si>
    <t>Total Amount</t>
  </si>
  <si>
    <t>Non-Revenue</t>
  </si>
  <si>
    <t>Revenue</t>
  </si>
  <si>
    <t>NFT</t>
  </si>
  <si>
    <t>LFT</t>
  </si>
  <si>
    <t>VAT</t>
  </si>
  <si>
    <t>Discount</t>
  </si>
  <si>
    <t>Header Text</t>
  </si>
  <si>
    <t>Reference</t>
  </si>
  <si>
    <t>Document Number</t>
  </si>
  <si>
    <t>Invoice Number</t>
  </si>
  <si>
    <t>Debit Memo Number</t>
  </si>
  <si>
    <t>Not Qualified for Output VAT</t>
  </si>
  <si>
    <t>Exempt</t>
  </si>
  <si>
    <t>Zero-rated</t>
  </si>
  <si>
    <t>Taxable Net of VAT</t>
  </si>
  <si>
    <t>Output VAT</t>
  </si>
  <si>
    <t>Total Sales</t>
  </si>
  <si>
    <t>Gross Taxable</t>
  </si>
  <si>
    <t>AR GL Account Number</t>
  </si>
  <si>
    <t>AR GL Account Name</t>
  </si>
  <si>
    <t>Invoice/Debit Memo Date</t>
  </si>
  <si>
    <t>Bill Period</t>
  </si>
  <si>
    <t>Posting Key</t>
  </si>
  <si>
    <t>Document Type</t>
  </si>
  <si>
    <t>VAT Code</t>
  </si>
  <si>
    <t>WHT Code</t>
  </si>
  <si>
    <t>Business Partner Code</t>
  </si>
  <si>
    <t>Company Code</t>
  </si>
  <si>
    <t>Business Place</t>
  </si>
  <si>
    <t>Sales Office</t>
  </si>
  <si>
    <t>Profit Center</t>
  </si>
  <si>
    <t>201-356-374-000</t>
  </si>
  <si>
    <t>Manila Water Philippine Ventures, Inc.</t>
  </si>
  <si>
    <t>3/F, UP Town Corporate Center, XXXX</t>
  </si>
  <si>
    <t>Doc. Header Text</t>
  </si>
  <si>
    <t> 1400000155</t>
  </si>
  <si>
    <t>00000289</t>
  </si>
  <si>
    <t>Receivable from Subsidiaries</t>
  </si>
  <si>
    <t>Revenue from water tankering</t>
  </si>
  <si>
    <t>07</t>
  </si>
  <si>
    <t>DR</t>
  </si>
  <si>
    <t>H4</t>
  </si>
  <si>
    <t>ICM002</t>
  </si>
  <si>
    <t>M001</t>
  </si>
  <si>
    <t>H001</t>
  </si>
  <si>
    <t>00101CF010</t>
  </si>
  <si>
    <t>Deferred National FT</t>
  </si>
  <si>
    <t>Deferred Local FT</t>
  </si>
  <si>
    <t>Header Row</t>
  </si>
  <si>
    <t>Item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</si>
</sst>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5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rgb="FF00000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top"/>
    </xf>
    <xf numFmtId="0" fontId="9" fillId="3" borderId="0" xfId="0" applyFont="1" applyFill="1" applyAlignment="1">
      <alignment vertical="top"/>
    </xf>
    <xf numFmtId="14" fontId="10" fillId="3" borderId="0" xfId="0" applyNumberFormat="1" applyFont="1" applyFill="1" applyAlignment="1">
      <alignment horizontal="center" vertical="top"/>
    </xf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top" wrapText="1"/>
    </xf>
    <xf numFmtId="43" fontId="10" fillId="3" borderId="0" xfId="1" applyFont="1" applyFill="1" applyAlignment="1">
      <alignment vertical="top"/>
    </xf>
    <xf numFmtId="0" fontId="11" fillId="3" borderId="0" xfId="0" applyFont="1" applyFill="1" applyAlignment="1">
      <alignment vertical="top"/>
    </xf>
    <xf numFmtId="49" fontId="10" fillId="3" borderId="0" xfId="0" applyNumberFormat="1" applyFont="1" applyFill="1" applyAlignment="1">
      <alignment horizontal="center" vertical="top"/>
    </xf>
    <xf numFmtId="43" fontId="10" fillId="3" borderId="0" xfId="1" applyFont="1" applyFill="1" applyAlignment="1">
      <alignment horizontal="center" vertical="top"/>
    </xf>
    <xf numFmtId="164" fontId="10" fillId="3" borderId="0" xfId="0" applyNumberFormat="1" applyFont="1" applyFill="1" applyAlignment="1">
      <alignment vertical="top"/>
    </xf>
    <xf numFmtId="0" fontId="10" fillId="3" borderId="0" xfId="0" applyFont="1" applyFill="1" applyAlignment="1">
      <alignment horizontal="center" vertical="top"/>
    </xf>
    <xf numFmtId="0" fontId="8" fillId="9" borderId="0" xfId="0" applyFont="1" applyFill="1" applyAlignment="1">
      <alignment horizontal="center" vertical="top"/>
    </xf>
    <xf numFmtId="0" fontId="9" fillId="9" borderId="0" xfId="0" applyFont="1" applyFill="1" applyAlignment="1">
      <alignment vertical="center"/>
    </xf>
    <xf numFmtId="14" fontId="10" fillId="9" borderId="0" xfId="0" applyNumberFormat="1" applyFont="1" applyFill="1" applyAlignment="1">
      <alignment horizontal="center" vertical="top"/>
    </xf>
    <xf numFmtId="0" fontId="10" fillId="9" borderId="0" xfId="0" applyFont="1" applyFill="1" applyAlignment="1">
      <alignment vertical="top"/>
    </xf>
    <xf numFmtId="0" fontId="10" fillId="9" borderId="0" xfId="0" applyFont="1" applyFill="1" applyAlignment="1">
      <alignment vertical="top" wrapText="1"/>
    </xf>
    <xf numFmtId="43" fontId="10" fillId="9" borderId="0" xfId="1" applyFont="1" applyFill="1" applyAlignment="1">
      <alignment vertical="top"/>
    </xf>
    <xf numFmtId="0" fontId="11" fillId="9" borderId="0" xfId="0" applyFont="1" applyFill="1" applyAlignment="1">
      <alignment vertical="top"/>
    </xf>
    <xf numFmtId="43" fontId="10" fillId="9" borderId="0" xfId="1" applyFont="1" applyFill="1" applyAlignment="1">
      <alignment horizontal="center" vertical="top"/>
    </xf>
    <xf numFmtId="164" fontId="10" fillId="9" borderId="0" xfId="0" applyNumberFormat="1" applyFont="1" applyFill="1" applyAlignment="1">
      <alignment vertical="top"/>
    </xf>
    <xf numFmtId="14" fontId="10" fillId="9" borderId="0" xfId="0" applyNumberFormat="1" applyFont="1" applyFill="1" applyAlignment="1">
      <alignment vertical="top"/>
    </xf>
    <xf numFmtId="49" fontId="10" fillId="9" borderId="0" xfId="0" applyNumberFormat="1" applyFont="1" applyFill="1" applyAlignment="1">
      <alignment vertical="top"/>
    </xf>
    <xf numFmtId="0" fontId="10" fillId="9" borderId="0" xfId="0" applyFont="1" applyFill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E2C7-AB6B-4EBE-97E9-6E5B4AE8BA6F}">
  <dimension ref="A1:AP8"/>
  <sheetViews>
    <sheetView tabSelected="1" zoomScale="46" workbookViewId="0">
      <selection activeCell="H6" sqref="H6"/>
    </sheetView>
  </sheetViews>
  <sheetFormatPr defaultRowHeight="14.5" x14ac:dyDescent="0.35"/>
  <cols>
    <col min="2" max="2" width="35.453125" bestFit="1" customWidth="1"/>
    <col min="3" max="3" width="19.6328125" bestFit="1" customWidth="1"/>
    <col min="4" max="4" width="26.54296875" bestFit="1" customWidth="1"/>
    <col min="5" max="5" width="53.81640625" bestFit="1" customWidth="1"/>
    <col min="6" max="6" width="11.7265625" bestFit="1" customWidth="1"/>
    <col min="7" max="7" width="13.90625" bestFit="1" customWidth="1"/>
    <col min="8" max="8" width="19.6328125" bestFit="1" customWidth="1"/>
    <col min="9" max="9" width="18.08984375" bestFit="1" customWidth="1"/>
    <col min="10" max="10" width="16.08984375" bestFit="1" customWidth="1"/>
    <col min="11" max="12" width="12.36328125" bestFit="1" customWidth="1"/>
    <col min="13" max="13" width="8.54296875" bestFit="1" customWidth="1"/>
    <col min="14" max="14" width="12.36328125" bestFit="1" customWidth="1"/>
    <col min="15" max="15" width="24.6328125" bestFit="1" customWidth="1"/>
    <col min="16" max="16" width="16.08984375" bestFit="1" customWidth="1"/>
    <col min="17" max="17" width="24.36328125" bestFit="1" customWidth="1"/>
    <col min="18" max="18" width="21" bestFit="1" customWidth="1"/>
    <col min="19" max="19" width="26.7265625" bestFit="1" customWidth="1"/>
    <col min="20" max="20" width="38" bestFit="1" customWidth="1"/>
    <col min="21" max="21" width="17.90625" bestFit="1" customWidth="1"/>
    <col min="22" max="22" width="14.08984375" bestFit="1" customWidth="1"/>
    <col min="23" max="23" width="26" bestFit="1" customWidth="1"/>
    <col min="24" max="24" width="7" bestFit="1" customWidth="1"/>
    <col min="25" max="25" width="16.26953125" bestFit="1" customWidth="1"/>
    <col min="26" max="26" width="17.90625" bestFit="1" customWidth="1"/>
    <col min="27" max="27" width="19.453125" bestFit="1" customWidth="1"/>
    <col min="28" max="28" width="28" bestFit="1" customWidth="1"/>
    <col min="29" max="29" width="41.6328125" bestFit="1" customWidth="1"/>
    <col min="30" max="30" width="28" bestFit="1" customWidth="1"/>
    <col min="31" max="31" width="42.36328125" bestFit="1" customWidth="1"/>
    <col min="32" max="32" width="23.453125" bestFit="1" customWidth="1"/>
    <col min="33" max="33" width="8.36328125" bestFit="1" customWidth="1"/>
    <col min="34" max="34" width="10" bestFit="1" customWidth="1"/>
    <col min="35" max="35" width="8.6328125" bestFit="1" customWidth="1"/>
    <col min="36" max="36" width="31.7265625" bestFit="1" customWidth="1"/>
    <col min="37" max="37" width="7.81640625" bestFit="1" customWidth="1"/>
    <col min="38" max="38" width="12.36328125" bestFit="1" customWidth="1"/>
    <col min="39" max="39" width="9.36328125" bestFit="1" customWidth="1"/>
    <col min="40" max="40" width="9.1796875" bestFit="1" customWidth="1"/>
    <col min="41" max="41" width="8.54296875" bestFit="1" customWidth="1"/>
    <col min="42" max="42" width="19.90625" bestFit="1" customWidth="1"/>
  </cols>
  <sheetData>
    <row r="1" spans="1:42" ht="98" thickBot="1" x14ac:dyDescent="0.45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3"/>
      <c r="P1" s="3"/>
      <c r="Q1" s="3"/>
      <c r="R1" s="3"/>
      <c r="S1" s="5"/>
      <c r="T1" s="6" t="s">
        <v>2</v>
      </c>
      <c r="U1" s="7"/>
      <c r="V1" s="7"/>
      <c r="W1" s="7"/>
      <c r="X1" s="7"/>
      <c r="Y1" s="7"/>
      <c r="Z1" s="7"/>
      <c r="AA1" s="8"/>
      <c r="AB1" s="9" t="s">
        <v>3</v>
      </c>
      <c r="AC1" s="10"/>
      <c r="AD1" s="10" t="s">
        <v>4</v>
      </c>
      <c r="AE1" s="10"/>
      <c r="AF1" s="11"/>
      <c r="AG1" s="11"/>
      <c r="AH1" s="12"/>
      <c r="AI1" s="12"/>
      <c r="AJ1" s="12"/>
      <c r="AK1" s="12"/>
      <c r="AL1" s="13"/>
      <c r="AM1" s="12"/>
      <c r="AN1" s="12"/>
      <c r="AO1" s="12"/>
      <c r="AP1" s="11"/>
    </row>
    <row r="2" spans="1:42" x14ac:dyDescent="0.35">
      <c r="A2" s="14"/>
      <c r="B2" s="15" t="s">
        <v>5</v>
      </c>
      <c r="C2" s="16" t="s">
        <v>6</v>
      </c>
      <c r="D2" s="17" t="s">
        <v>7</v>
      </c>
      <c r="E2" s="18" t="s">
        <v>8</v>
      </c>
      <c r="F2" s="18" t="s">
        <v>9</v>
      </c>
      <c r="G2" s="19" t="s">
        <v>10</v>
      </c>
      <c r="H2" s="20" t="s">
        <v>11</v>
      </c>
      <c r="I2" s="20" t="s">
        <v>12</v>
      </c>
      <c r="J2" s="20" t="s">
        <v>13</v>
      </c>
      <c r="K2" s="21" t="s">
        <v>14</v>
      </c>
      <c r="L2" s="20" t="s">
        <v>15</v>
      </c>
      <c r="M2" s="20" t="s">
        <v>16</v>
      </c>
      <c r="N2" s="20" t="s">
        <v>17</v>
      </c>
      <c r="O2" s="22" t="s">
        <v>18</v>
      </c>
      <c r="P2" s="23" t="s">
        <v>19</v>
      </c>
      <c r="Q2" s="23" t="s">
        <v>20</v>
      </c>
      <c r="R2" s="23" t="s">
        <v>21</v>
      </c>
      <c r="S2" s="16" t="s">
        <v>22</v>
      </c>
      <c r="T2" s="24" t="s">
        <v>23</v>
      </c>
      <c r="U2" s="24" t="s">
        <v>24</v>
      </c>
      <c r="V2" s="24" t="s">
        <v>25</v>
      </c>
      <c r="W2" s="24" t="s">
        <v>26</v>
      </c>
      <c r="X2" s="24" t="s">
        <v>16</v>
      </c>
      <c r="Y2" s="24" t="s">
        <v>27</v>
      </c>
      <c r="Z2" s="24" t="s">
        <v>28</v>
      </c>
      <c r="AA2" s="24" t="s">
        <v>29</v>
      </c>
      <c r="AB2" s="25" t="s">
        <v>30</v>
      </c>
      <c r="AC2" s="26" t="s">
        <v>31</v>
      </c>
      <c r="AD2" s="26" t="s">
        <v>30</v>
      </c>
      <c r="AE2" s="26" t="s">
        <v>31</v>
      </c>
      <c r="AF2" s="27" t="s">
        <v>32</v>
      </c>
      <c r="AG2" s="27" t="s">
        <v>33</v>
      </c>
      <c r="AH2" s="27" t="s">
        <v>34</v>
      </c>
      <c r="AI2" s="27" t="s">
        <v>35</v>
      </c>
      <c r="AJ2" s="27" t="s">
        <v>36</v>
      </c>
      <c r="AK2" s="27" t="s">
        <v>37</v>
      </c>
      <c r="AL2" s="27" t="s">
        <v>38</v>
      </c>
      <c r="AM2" s="27" t="s">
        <v>39</v>
      </c>
      <c r="AN2" s="27" t="s">
        <v>40</v>
      </c>
      <c r="AO2" s="27" t="s">
        <v>41</v>
      </c>
      <c r="AP2" s="27" t="s">
        <v>42</v>
      </c>
    </row>
    <row r="3" spans="1:42" x14ac:dyDescent="0.35">
      <c r="A3" s="14"/>
      <c r="B3" s="15"/>
      <c r="C3" s="16"/>
      <c r="D3" s="28"/>
      <c r="E3" s="23"/>
      <c r="F3" s="23"/>
      <c r="G3" s="29"/>
      <c r="H3" s="30"/>
      <c r="I3" s="30"/>
      <c r="J3" s="30"/>
      <c r="K3" s="31"/>
      <c r="L3" s="30"/>
      <c r="M3" s="30"/>
      <c r="N3" s="30"/>
      <c r="O3" s="22"/>
      <c r="P3" s="23"/>
      <c r="Q3" s="23"/>
      <c r="R3" s="23"/>
      <c r="S3" s="16"/>
      <c r="T3" s="24"/>
      <c r="U3" s="24"/>
      <c r="V3" s="24"/>
      <c r="W3" s="24"/>
      <c r="X3" s="24"/>
      <c r="Y3" s="24"/>
      <c r="Z3" s="24"/>
      <c r="AA3" s="24"/>
      <c r="AB3" s="25"/>
      <c r="AC3" s="26"/>
      <c r="AD3" s="26"/>
      <c r="AE3" s="26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</row>
    <row r="4" spans="1:42" x14ac:dyDescent="0.35">
      <c r="A4" s="14"/>
      <c r="B4" s="15"/>
      <c r="C4" s="16"/>
      <c r="D4" s="28"/>
      <c r="E4" s="23"/>
      <c r="F4" s="23"/>
      <c r="G4" s="29"/>
      <c r="H4" s="30"/>
      <c r="I4" s="30"/>
      <c r="J4" s="30"/>
      <c r="K4" s="31"/>
      <c r="L4" s="30"/>
      <c r="M4" s="30"/>
      <c r="N4" s="30"/>
      <c r="O4" s="22"/>
      <c r="P4" s="23"/>
      <c r="Q4" s="23"/>
      <c r="R4" s="23"/>
      <c r="S4" s="16"/>
      <c r="T4" s="24"/>
      <c r="U4" s="24"/>
      <c r="V4" s="24"/>
      <c r="W4" s="24"/>
      <c r="X4" s="24"/>
      <c r="Y4" s="24"/>
      <c r="Z4" s="24"/>
      <c r="AA4" s="24"/>
      <c r="AB4" s="25"/>
      <c r="AC4" s="26"/>
      <c r="AD4" s="26"/>
      <c r="AE4" s="26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42" ht="141" x14ac:dyDescent="0.35">
      <c r="A5" s="34"/>
      <c r="B5" s="35" t="s">
        <v>60</v>
      </c>
      <c r="C5" s="36">
        <v>46212</v>
      </c>
      <c r="D5" s="37" t="s">
        <v>43</v>
      </c>
      <c r="E5" s="37" t="s">
        <v>44</v>
      </c>
      <c r="F5" s="38" t="s">
        <v>45</v>
      </c>
      <c r="G5" s="37"/>
      <c r="H5" s="39">
        <v>100000</v>
      </c>
      <c r="I5" s="37"/>
      <c r="J5" s="37">
        <v>97440.25</v>
      </c>
      <c r="K5" s="40">
        <v>1948.8</v>
      </c>
      <c r="L5" s="37">
        <v>610.95000000000005</v>
      </c>
      <c r="M5" s="37">
        <v>0</v>
      </c>
      <c r="N5" s="37">
        <v>0</v>
      </c>
      <c r="O5" s="37" t="s">
        <v>46</v>
      </c>
      <c r="P5" s="41" t="str">
        <f>R5</f>
        <v>00000289</v>
      </c>
      <c r="Q5" s="37" t="s">
        <v>47</v>
      </c>
      <c r="R5" s="41" t="s">
        <v>48</v>
      </c>
      <c r="S5" s="37"/>
      <c r="T5" s="37"/>
      <c r="U5" s="42">
        <f>J5</f>
        <v>97440.25</v>
      </c>
      <c r="V5" s="37"/>
      <c r="W5" s="37"/>
      <c r="X5" s="37"/>
      <c r="Y5" s="37"/>
      <c r="Z5" s="43">
        <f>U5+V5+W5</f>
        <v>97440.25</v>
      </c>
      <c r="AA5" s="37">
        <f>Y5+Z5</f>
        <v>97440.25</v>
      </c>
      <c r="AB5" s="40"/>
      <c r="AC5" s="40"/>
      <c r="AD5" s="37"/>
      <c r="AE5" s="37"/>
      <c r="AF5" s="37"/>
      <c r="AG5" s="37"/>
      <c r="AH5" s="37"/>
      <c r="AI5" s="37"/>
      <c r="AJ5" s="44"/>
      <c r="AK5" s="37"/>
      <c r="AL5" s="37"/>
      <c r="AM5" s="37"/>
      <c r="AN5" s="37"/>
      <c r="AO5" s="37"/>
      <c r="AP5" s="37"/>
    </row>
    <row r="6" spans="1:42" ht="188" x14ac:dyDescent="0.35">
      <c r="A6" s="45"/>
      <c r="B6" s="46" t="s">
        <v>61</v>
      </c>
      <c r="C6" s="47">
        <f>C5</f>
        <v>46212</v>
      </c>
      <c r="D6" s="48" t="str">
        <f t="shared" ref="D6:F8" si="0">D5</f>
        <v>201-356-374-000</v>
      </c>
      <c r="E6" s="48" t="str">
        <f t="shared" si="0"/>
        <v>Manila Water Philippine Ventures, Inc.</v>
      </c>
      <c r="F6" s="49" t="str">
        <f t="shared" si="0"/>
        <v>3/F, UP Town Corporate Center, XXXX</v>
      </c>
      <c r="G6" s="48"/>
      <c r="H6" s="50">
        <f>J5</f>
        <v>97440.25</v>
      </c>
      <c r="I6" s="48"/>
      <c r="J6" s="48">
        <v>97440.25</v>
      </c>
      <c r="K6" s="51"/>
      <c r="L6" s="48"/>
      <c r="M6" s="48"/>
      <c r="N6" s="48"/>
      <c r="O6" s="48" t="str">
        <f>O5</f>
        <v>Doc. Header Text</v>
      </c>
      <c r="P6" s="48" t="str">
        <f t="shared" ref="P6:R8" si="1">P5</f>
        <v>00000289</v>
      </c>
      <c r="Q6" s="48" t="str">
        <f t="shared" si="1"/>
        <v> 1400000155</v>
      </c>
      <c r="R6" s="48" t="str">
        <f t="shared" si="1"/>
        <v>00000289</v>
      </c>
      <c r="S6" s="48"/>
      <c r="T6" s="48"/>
      <c r="U6" s="52">
        <f>H6</f>
        <v>97440.25</v>
      </c>
      <c r="V6" s="48"/>
      <c r="W6" s="48"/>
      <c r="X6" s="48"/>
      <c r="Y6" s="48"/>
      <c r="Z6" s="53">
        <f>U6+V6+W6</f>
        <v>97440.25</v>
      </c>
      <c r="AA6" s="48">
        <f>Y6+Z6</f>
        <v>97440.25</v>
      </c>
      <c r="AB6" s="51">
        <v>1071141001</v>
      </c>
      <c r="AC6" s="51" t="s">
        <v>49</v>
      </c>
      <c r="AD6" s="48">
        <v>4992103100</v>
      </c>
      <c r="AE6" s="48" t="s">
        <v>50</v>
      </c>
      <c r="AF6" s="54">
        <f>C6</f>
        <v>46212</v>
      </c>
      <c r="AG6" s="55" t="s">
        <v>51</v>
      </c>
      <c r="AH6" s="48">
        <v>50</v>
      </c>
      <c r="AI6" s="48" t="s">
        <v>52</v>
      </c>
      <c r="AJ6" s="56" t="s">
        <v>53</v>
      </c>
      <c r="AK6" s="48"/>
      <c r="AL6" s="48" t="s">
        <v>54</v>
      </c>
      <c r="AM6" s="48" t="s">
        <v>55</v>
      </c>
      <c r="AN6" s="48" t="s">
        <v>56</v>
      </c>
      <c r="AO6" s="48"/>
      <c r="AP6" s="48" t="s">
        <v>57</v>
      </c>
    </row>
    <row r="7" spans="1:42" ht="188" x14ac:dyDescent="0.35">
      <c r="A7" s="45"/>
      <c r="B7" s="46" t="s">
        <v>61</v>
      </c>
      <c r="C7" s="47">
        <f t="shared" ref="C7:C8" si="2">C6</f>
        <v>46212</v>
      </c>
      <c r="D7" s="48" t="str">
        <f t="shared" si="0"/>
        <v>201-356-374-000</v>
      </c>
      <c r="E7" s="48" t="str">
        <f t="shared" si="0"/>
        <v>Manila Water Philippine Ventures, Inc.</v>
      </c>
      <c r="F7" s="49" t="str">
        <f t="shared" si="0"/>
        <v>3/F, UP Town Corporate Center, XXXX</v>
      </c>
      <c r="G7" s="48"/>
      <c r="H7" s="50">
        <f>K7</f>
        <v>1948.8</v>
      </c>
      <c r="I7" s="48"/>
      <c r="J7" s="48"/>
      <c r="K7" s="51">
        <f>K5</f>
        <v>1948.8</v>
      </c>
      <c r="L7" s="48"/>
      <c r="M7" s="48"/>
      <c r="N7" s="48"/>
      <c r="O7" s="48" t="str">
        <f t="shared" ref="O7:O8" si="3">O6</f>
        <v>Doc. Header Text</v>
      </c>
      <c r="P7" s="48" t="str">
        <f t="shared" si="1"/>
        <v>00000289</v>
      </c>
      <c r="Q7" s="48" t="str">
        <f t="shared" si="1"/>
        <v> 1400000155</v>
      </c>
      <c r="R7" s="48" t="str">
        <f t="shared" si="1"/>
        <v>00000289</v>
      </c>
      <c r="S7" s="48"/>
      <c r="T7" s="48"/>
      <c r="U7" s="52"/>
      <c r="V7" s="48"/>
      <c r="W7" s="48"/>
      <c r="X7" s="48"/>
      <c r="Y7" s="48"/>
      <c r="Z7" s="53">
        <f>U7+V7+W7</f>
        <v>0</v>
      </c>
      <c r="AA7" s="48">
        <f>Y7+Z7</f>
        <v>0</v>
      </c>
      <c r="AB7" s="51">
        <v>1071141001</v>
      </c>
      <c r="AC7" s="51" t="s">
        <v>49</v>
      </c>
      <c r="AD7" s="48">
        <v>2301121007</v>
      </c>
      <c r="AE7" s="48" t="s">
        <v>58</v>
      </c>
      <c r="AF7" s="54">
        <f t="shared" ref="AF7:AF8" si="4">C7</f>
        <v>46212</v>
      </c>
      <c r="AG7" s="55" t="s">
        <v>51</v>
      </c>
      <c r="AH7" s="48">
        <v>50</v>
      </c>
      <c r="AI7" s="48" t="s">
        <v>52</v>
      </c>
      <c r="AJ7" s="56" t="s">
        <v>53</v>
      </c>
      <c r="AK7" s="48"/>
      <c r="AL7" s="48" t="s">
        <v>54</v>
      </c>
      <c r="AM7" s="48" t="s">
        <v>55</v>
      </c>
      <c r="AN7" s="48" t="s">
        <v>56</v>
      </c>
      <c r="AO7" s="48"/>
      <c r="AP7" s="48" t="s">
        <v>57</v>
      </c>
    </row>
    <row r="8" spans="1:42" ht="188" x14ac:dyDescent="0.35">
      <c r="A8" s="45"/>
      <c r="B8" s="46" t="s">
        <v>61</v>
      </c>
      <c r="C8" s="47">
        <f t="shared" si="2"/>
        <v>46212</v>
      </c>
      <c r="D8" s="48" t="str">
        <f t="shared" si="0"/>
        <v>201-356-374-000</v>
      </c>
      <c r="E8" s="48" t="str">
        <f t="shared" si="0"/>
        <v>Manila Water Philippine Ventures, Inc.</v>
      </c>
      <c r="F8" s="49" t="str">
        <f t="shared" si="0"/>
        <v>3/F, UP Town Corporate Center, XXXX</v>
      </c>
      <c r="G8" s="48"/>
      <c r="H8" s="50">
        <f>L8</f>
        <v>610.95000000000005</v>
      </c>
      <c r="I8" s="48"/>
      <c r="J8" s="48"/>
      <c r="K8" s="51"/>
      <c r="L8" s="48">
        <f>L5</f>
        <v>610.95000000000005</v>
      </c>
      <c r="M8" s="48"/>
      <c r="N8" s="48"/>
      <c r="O8" s="48" t="str">
        <f t="shared" si="3"/>
        <v>Doc. Header Text</v>
      </c>
      <c r="P8" s="48" t="str">
        <f t="shared" si="1"/>
        <v>00000289</v>
      </c>
      <c r="Q8" s="48" t="str">
        <f t="shared" si="1"/>
        <v> 1400000155</v>
      </c>
      <c r="R8" s="48" t="str">
        <f t="shared" si="1"/>
        <v>00000289</v>
      </c>
      <c r="S8" s="48"/>
      <c r="T8" s="48"/>
      <c r="U8" s="52"/>
      <c r="V8" s="48"/>
      <c r="W8" s="48"/>
      <c r="X8" s="48"/>
      <c r="Y8" s="48"/>
      <c r="Z8" s="53">
        <f>U8+V8+W8</f>
        <v>0</v>
      </c>
      <c r="AA8" s="48">
        <f>Y8+Z8</f>
        <v>0</v>
      </c>
      <c r="AB8" s="51">
        <v>1071141001</v>
      </c>
      <c r="AC8" s="51" t="s">
        <v>49</v>
      </c>
      <c r="AD8" s="48">
        <v>2301121006</v>
      </c>
      <c r="AE8" s="48" t="s">
        <v>59</v>
      </c>
      <c r="AF8" s="54">
        <f t="shared" si="4"/>
        <v>46212</v>
      </c>
      <c r="AG8" s="55" t="s">
        <v>51</v>
      </c>
      <c r="AH8" s="48">
        <v>50</v>
      </c>
      <c r="AI8" s="48" t="s">
        <v>52</v>
      </c>
      <c r="AJ8" s="56" t="s">
        <v>53</v>
      </c>
      <c r="AK8" s="48"/>
      <c r="AL8" s="48" t="s">
        <v>54</v>
      </c>
      <c r="AM8" s="48" t="s">
        <v>55</v>
      </c>
      <c r="AN8" s="48" t="s">
        <v>56</v>
      </c>
      <c r="AO8" s="48"/>
      <c r="AP8" s="48" t="s">
        <v>57</v>
      </c>
    </row>
  </sheetData>
  <mergeCells count="46">
    <mergeCell ref="AK2:AK4"/>
    <mergeCell ref="AL2:AL4"/>
    <mergeCell ref="AM2:AM4"/>
    <mergeCell ref="AN2:AN4"/>
    <mergeCell ref="AO2:AO4"/>
    <mergeCell ref="AP2:AP4"/>
    <mergeCell ref="AE2:AE4"/>
    <mergeCell ref="AF2:AF4"/>
    <mergeCell ref="AG2:AG4"/>
    <mergeCell ref="AH2:AH4"/>
    <mergeCell ref="AI2:AI4"/>
    <mergeCell ref="AJ2:AJ4"/>
    <mergeCell ref="Y2:Y4"/>
    <mergeCell ref="Z2:Z4"/>
    <mergeCell ref="AA2:AA4"/>
    <mergeCell ref="AB2:AB4"/>
    <mergeCell ref="AC2:AC4"/>
    <mergeCell ref="AD2:AD4"/>
    <mergeCell ref="S2:S4"/>
    <mergeCell ref="T2:T4"/>
    <mergeCell ref="U2:U4"/>
    <mergeCell ref="V2:V4"/>
    <mergeCell ref="W2:W4"/>
    <mergeCell ref="X2:X4"/>
    <mergeCell ref="M2:M4"/>
    <mergeCell ref="N2:N4"/>
    <mergeCell ref="O2:O4"/>
    <mergeCell ref="P2:P4"/>
    <mergeCell ref="Q2:Q4"/>
    <mergeCell ref="R2:R4"/>
    <mergeCell ref="G2:G4"/>
    <mergeCell ref="H2:H4"/>
    <mergeCell ref="I2:I4"/>
    <mergeCell ref="J2:J4"/>
    <mergeCell ref="K2:K4"/>
    <mergeCell ref="L2:L4"/>
    <mergeCell ref="C1:S1"/>
    <mergeCell ref="T1:AA1"/>
    <mergeCell ref="AB1:AC1"/>
    <mergeCell ref="AD1:AE1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Diligent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Jain</dc:creator>
  <cp:lastModifiedBy>Ritika Jain</cp:lastModifiedBy>
  <dcterms:created xsi:type="dcterms:W3CDTF">2026-07-20T09:40:38Z</dcterms:created>
  <dcterms:modified xsi:type="dcterms:W3CDTF">2026-07-20T09:45:28Z</dcterms:modified>
</cp:coreProperties>
</file>